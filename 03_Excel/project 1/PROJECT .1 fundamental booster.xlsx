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 excel\"/>
    </mc:Choice>
  </mc:AlternateContent>
  <xr:revisionPtr revIDLastSave="0" documentId="13_ncr:1_{604F303B-E7A9-49DF-A342-A6000C027682}" xr6:coauthVersionLast="47" xr6:coauthVersionMax="47" xr10:uidLastSave="{00000000-0000-0000-0000-000000000000}"/>
  <bookViews>
    <workbookView xWindow="-108" yWindow="-108" windowWidth="23256" windowHeight="12456" activeTab="3" xr2:uid="{F04F5659-20FD-476D-AD07-D0DA380B9F83}"/>
  </bookViews>
  <sheets>
    <sheet name="project instruction" sheetId="4" r:id="rId1"/>
    <sheet name="students grade" sheetId="1" r:id="rId2"/>
    <sheet name="sales data" sheetId="2" r:id="rId3"/>
    <sheet name="employee 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H2" i="1" l="1"/>
  <c r="J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I11" i="1" l="1" a="1"/>
  <c r="I11" i="1" s="1"/>
  <c r="I15" i="1" a="1"/>
  <c r="I15" i="1" s="1"/>
  <c r="I16" i="1" a="1"/>
  <c r="I16" i="1" s="1"/>
  <c r="I17" i="1" a="1"/>
  <c r="I17" i="1" s="1"/>
  <c r="I2" i="1" a="1"/>
  <c r="I2" i="1" s="1"/>
  <c r="H3" i="1"/>
  <c r="I3" i="1" s="1" a="1"/>
  <c r="I3" i="1" s="1"/>
  <c r="H4" i="1"/>
  <c r="I4" i="1" s="1" a="1"/>
  <c r="I4" i="1" s="1"/>
  <c r="H5" i="1"/>
  <c r="I5" i="1" s="1" a="1"/>
  <c r="I5" i="1" s="1"/>
  <c r="H6" i="1"/>
  <c r="I6" i="1" s="1" a="1"/>
  <c r="I6" i="1" s="1"/>
  <c r="H7" i="1"/>
  <c r="I7" i="1" s="1" a="1"/>
  <c r="I7" i="1" s="1"/>
  <c r="H8" i="1"/>
  <c r="I8" i="1" s="1" a="1"/>
  <c r="I8" i="1" s="1"/>
  <c r="H9" i="1"/>
  <c r="I9" i="1" s="1" a="1"/>
  <c r="I9" i="1" s="1"/>
  <c r="H10" i="1"/>
  <c r="I10" i="1" s="1" a="1"/>
  <c r="I10" i="1" s="1"/>
  <c r="H11" i="1"/>
  <c r="H12" i="1"/>
  <c r="I12" i="1" s="1" a="1"/>
  <c r="I12" i="1" s="1"/>
  <c r="H13" i="1"/>
  <c r="I13" i="1" s="1" a="1"/>
  <c r="I13" i="1" s="1"/>
  <c r="H14" i="1"/>
  <c r="I14" i="1" s="1" a="1"/>
  <c r="I14" i="1" s="1"/>
  <c r="H15" i="1"/>
  <c r="H16" i="1"/>
  <c r="H17" i="1"/>
  <c r="H18" i="1"/>
  <c r="I18" i="1" s="1" a="1"/>
  <c r="I18" i="1" s="1"/>
  <c r="H19" i="1"/>
  <c r="I19" i="1" s="1" a="1"/>
  <c r="I19" i="1" s="1"/>
  <c r="H20" i="1"/>
  <c r="I20" i="1" s="1" a="1"/>
  <c r="I20" i="1" s="1"/>
  <c r="K2" i="1"/>
  <c r="H3" i="3" l="1"/>
  <c r="H8" i="3"/>
  <c r="L2" i="1"/>
  <c r="M2" i="1"/>
  <c r="M3" i="2"/>
  <c r="L3" i="2"/>
  <c r="I8" i="3"/>
  <c r="I3" i="3"/>
  <c r="I3" i="2"/>
  <c r="J3" i="2"/>
  <c r="G19" i="1"/>
  <c r="G5" i="1"/>
  <c r="G14" i="1"/>
  <c r="G20" i="1"/>
  <c r="G13" i="1"/>
  <c r="G4" i="1"/>
  <c r="G6" i="1"/>
  <c r="G18" i="1"/>
  <c r="G9" i="1"/>
  <c r="G2" i="1"/>
  <c r="G15" i="1"/>
  <c r="G17" i="1"/>
  <c r="G10" i="1"/>
  <c r="G16" i="1"/>
  <c r="G7" i="1"/>
  <c r="G11" i="1"/>
  <c r="G12" i="1"/>
  <c r="G8" i="1"/>
  <c r="G3" i="1"/>
  <c r="A25" i="1"/>
  <c r="A25" i="1" a="1"/>
  <c r="H21" i="1"/>
  <c r="G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<sst xmlns="http://schemas.openxmlformats.org/spreadsheetml/2006/main" count="224" uniqueCount="171">
  <si>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</si>
  <si>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</si>
  <si>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</si>
  <si>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</si>
  <si>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</si>
  <si>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</si>
  <si>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</si>
  <si>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</si>
  <si>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</si>
  <si>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</si>
  <si>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</si>
  <si>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</si>
  <si>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</si>
  <si>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</si>
  <si>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</si>
  <si>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</si>
  <si>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</si>
  <si>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</si>
  <si>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</si>
  <si>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</si>
  <si>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</si>
  <si>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</si>
  <si>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</si>
  <si>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</si>
  <si>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</si>
  <si>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</si>
  <si>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</si>
  <si>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</si>
  <si>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</si>
  <si>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</si>
  <si>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</si>
  <si>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</si>
  <si>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</si>
  <si>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</si>
  <si>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</si>
  <si>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</si>
  <si>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</si>
  <si>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</si>
  <si>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</si>
  <si>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</si>
  <si>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</si>
  <si>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</si>
  <si>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</si>
  <si>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</si>
  <si>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</si>
  <si>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</si>
  <si>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</si>
  <si>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</si>
  <si>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</si>
  <si>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</si>
  <si>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</si>
  <si>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</si>
  <si>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</si>
  <si>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</si>
  <si>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</si>
  <si>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</si>
  <si>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</si>
  <si>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</si>
  <si>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</si>
  <si>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</si>
  <si>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</si>
  <si>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</si>
  <si>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</si>
  <si>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</si>
  <si>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</si>
  <si>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</si>
  <si>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</si>
  <si>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</si>
  <si>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</si>
  <si>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</si>
  <si>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</si>
  <si>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</si>
  <si>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</si>
  <si>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</si>
  <si>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</si>
  <si>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</si>
  <si>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</si>
  <si>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</si>
  <si>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</si>
  <si>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</si>
  <si>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</si>
  <si>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</si>
  <si>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</si>
  <si>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</si>
  <si>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</si>
  <si>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</si>
  <si>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</si>
  <si>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</si>
  <si>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</si>
  <si>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Topics:</t>
  </si>
  <si>
    <t>- Relative &amp; Absolute References, Formatting, Data Input</t>
  </si>
  <si>
    <t>- IF Formulas, Nested IFs, IF with AND/OR</t>
  </si>
  <si>
    <t>- COUNTIFS, SUMIFS, AVERAGEIFS</t>
  </si>
  <si>
    <t>- Lookup Functions (VLOOKUP, XLOOKUP, XMATCH)</t>
  </si>
  <si>
    <t>- INDEX/MATCH for dynamic searches</t>
  </si>
  <si>
    <t>- TEXT Functions for string manipulations</t>
  </si>
  <si>
    <t>- INDIRECT and OFFSET for dynamic references</t>
  </si>
  <si>
    <t>- Date/Time, Math Functions, FILTER function</t>
  </si>
  <si>
    <t>Main Tasks:</t>
  </si>
  <si>
    <t>1. Apply IF formulas to classify student grades.</t>
  </si>
  <si>
    <t>2. Use COUNTIFS to count students scoring above 60.</t>
  </si>
  <si>
    <t>3. Use VLOOKUP to find a product price from sales data.</t>
  </si>
  <si>
    <t>4. Apply XLOOKUP to fetch employee salaries dynamically.</t>
  </si>
  <si>
    <t>5. Format and analyze date of joining in Employee data.</t>
  </si>
  <si>
    <t>6. Use FILTER function to extract students with grades above 80.</t>
  </si>
  <si>
    <t>Deliverable:</t>
  </si>
  <si>
    <t>Complete the given worksheets by applying the required formulas in respective sheets.</t>
  </si>
  <si>
    <t>Essential Tasks</t>
  </si>
  <si>
    <t>Relative &amp; Absolute Cell References, Formatting, and Data Input</t>
  </si>
  <si>
    <t>Enter and format data (bold, italic, currency, date, custom formats).</t>
  </si>
  <si>
    <t>Use absolute ($A$1) and relative (A1) references in formulas.</t>
  </si>
  <si>
    <t>Using IF Formula &amp; Nesting IF Formulas</t>
  </si>
  <si>
    <t>Classify students' grades based on their scores.</t>
  </si>
  <si>
    <t>Compute discounts for sales based on price thresholds.</t>
  </si>
  <si>
    <t>Using IF with AND/OR Formulas</t>
  </si>
  <si>
    <t>Identify students who scored above 80 in both Math &amp; Science using IF(AND(...)).</t>
  </si>
  <si>
    <t>Determine whether a product is eligible for discount using IF(OR(...)).</t>
  </si>
  <si>
    <t>COUNTIFS, SUMIFS, AVERAGEIFS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</si>
  <si>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</si>
  <si>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</si>
  <si>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</si>
  <si>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</si>
  <si>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</si>
  <si>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</si>
  <si>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</si>
  <si>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</si>
  <si>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>Look up employee details dynamically without column restrictions.</t>
  </si>
  <si>
    <t>Excel TEXT Functions</t>
  </si>
  <si>
    <t>Extract the first name from full names using LEFT and FIND.</t>
  </si>
  <si>
    <t>Convert names to uppercase/lowercase using UPPER(), LOWER().</t>
  </si>
  <si>
    <t>XLOOKUP Function</t>
  </si>
  <si>
    <t>Search for salesperson performance based on flexible search criteria.</t>
  </si>
  <si>
    <t>Find employee salaries without worrying about sorted data.</t>
  </si>
  <si>
    <t>XMATCH Function</t>
  </si>
  <si>
    <t>Find the position of a product in a sales list.</t>
  </si>
  <si>
    <t>INDIRECT Function</t>
  </si>
  <si>
    <t>Dynamically reference a cell range using INDIRECT.</t>
  </si>
  <si>
    <t>OFFSET Function</t>
  </si>
  <si>
    <t>Create dynamic ranges for sales trends.</t>
  </si>
  <si>
    <t>Date and Time Functions</t>
  </si>
  <si>
    <t>Calculate age from date of birth.</t>
  </si>
  <si>
    <t>Find the difference in days between two dates.</t>
  </si>
  <si>
    <t>Math Functions</t>
  </si>
  <si>
    <t>Use ROUND(), CEILING(), and FLOOR() for financial calculations.</t>
  </si>
  <si>
    <t>Return Multiple Values using FILTER Function</t>
  </si>
  <si>
    <t>Extract a list of top-performing students based on scores.</t>
  </si>
  <si>
    <t>pr 1 fundamental boster</t>
  </si>
  <si>
    <t>Total</t>
  </si>
  <si>
    <t>Grade</t>
  </si>
  <si>
    <t>ID</t>
  </si>
  <si>
    <t>PRICE</t>
  </si>
  <si>
    <t>STUDENT ABOV 60</t>
  </si>
  <si>
    <t>AVERAGE</t>
  </si>
  <si>
    <t>NAME</t>
  </si>
  <si>
    <t>SALARY</t>
  </si>
  <si>
    <t>DATE OF JOINING</t>
  </si>
  <si>
    <t>EMP NAME</t>
  </si>
  <si>
    <t>MAX</t>
  </si>
  <si>
    <t>MIN</t>
  </si>
  <si>
    <t>UPPER CASE</t>
  </si>
  <si>
    <t>LOWER CASE</t>
  </si>
  <si>
    <t>ITALIC</t>
  </si>
  <si>
    <t>BOLD</t>
  </si>
  <si>
    <t>C</t>
  </si>
  <si>
    <t>STUDENT ABOVE in math and sci 80</t>
  </si>
  <si>
    <t>LEFT AND FIND</t>
  </si>
  <si>
    <t>FIND PRICE FROM ID</t>
  </si>
  <si>
    <t>PERFORM MAX&amp;MIN..</t>
  </si>
  <si>
    <t>FIND SALARY FROME ID</t>
  </si>
  <si>
    <t>FIND JOINING DATE OF EMPLOYEE</t>
  </si>
  <si>
    <t xml:space="preserve">DATEDIF FUNCTION IS NOT WORKING IN OUR EXCEL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</si>
</sst>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38761D"/>
      <name val="Calibri"/>
      <family val="2"/>
    </font>
    <font>
      <sz val="11"/>
      <color rgb="FF38761D"/>
      <name val="Calibri"/>
      <family val="2"/>
    </font>
    <font>
      <i/>
      <sz val="11"/>
      <color theme="1"/>
      <name val="Calibri"/>
      <family val="2"/>
    </font>
    <font>
      <sz val="8"/>
      <name val="Aptos Narrow"/>
      <family val="2"/>
      <scheme val="minor"/>
    </font>
    <font>
      <b/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ECD5-230D-4198-AA52-05A072DB57A1}">
  <dimension ref="A1:A73"/>
  <sheetViews>
    <sheetView zoomScale="113" workbookViewId="0">
      <selection activeCell="A29" sqref="A29"/>
    </sheetView>
  </sheetViews>
  <sheetFormatPr defaultRowHeight="14.4" x14ac:dyDescent="0.3"/>
  <cols>
    <col min="1" max="1" width="74.77734375" customWidth="1"/>
  </cols>
  <sheetData>
    <row r="1" spans="1:1" ht="15" thickBot="1" x14ac:dyDescent="0.35">
      <c r="A1" s="1" t="s">
        <v>146</v>
      </c>
    </row>
    <row r="2" spans="1:1" x14ac:dyDescent="0.3">
      <c r="A2" s="6" t="s">
        <v>89</v>
      </c>
    </row>
    <row r="3" spans="1:1" x14ac:dyDescent="0.3">
      <c r="A3" s="7" t="s">
        <v>90</v>
      </c>
    </row>
    <row r="4" spans="1:1" x14ac:dyDescent="0.3">
      <c r="A4" s="7" t="s">
        <v>91</v>
      </c>
    </row>
    <row r="5" spans="1:1" x14ac:dyDescent="0.3">
      <c r="A5" s="7" t="s">
        <v>92</v>
      </c>
    </row>
    <row r="6" spans="1:1" x14ac:dyDescent="0.3">
      <c r="A6" s="7" t="s">
        <v>93</v>
      </c>
    </row>
    <row r="7" spans="1:1" x14ac:dyDescent="0.3">
      <c r="A7" s="7" t="s">
        <v>94</v>
      </c>
    </row>
    <row r="8" spans="1:1" x14ac:dyDescent="0.3">
      <c r="A8" s="7" t="s">
        <v>95</v>
      </c>
    </row>
    <row r="9" spans="1:1" x14ac:dyDescent="0.3">
      <c r="A9" s="7" t="s">
        <v>96</v>
      </c>
    </row>
    <row r="10" spans="1:1" x14ac:dyDescent="0.3">
      <c r="A10" s="7" t="s">
        <v>97</v>
      </c>
    </row>
    <row r="12" spans="1:1" x14ac:dyDescent="0.3">
      <c r="A12" s="8" t="s">
        <v>98</v>
      </c>
    </row>
    <row r="13" spans="1:1" x14ac:dyDescent="0.3">
      <c r="A13" s="9" t="s">
        <v>99</v>
      </c>
    </row>
    <row r="14" spans="1:1" x14ac:dyDescent="0.3">
      <c r="A14" s="9" t="s">
        <v>100</v>
      </c>
    </row>
    <row r="15" spans="1:1" x14ac:dyDescent="0.3">
      <c r="A15" s="9" t="s">
        <v>101</v>
      </c>
    </row>
    <row r="16" spans="1:1" x14ac:dyDescent="0.3">
      <c r="A16" s="9" t="s">
        <v>102</v>
      </c>
    </row>
    <row r="17" spans="1:1" x14ac:dyDescent="0.3">
      <c r="A17" s="9" t="s">
        <v>103</v>
      </c>
    </row>
    <row r="18" spans="1:1" x14ac:dyDescent="0.3">
      <c r="A18" s="9" t="s">
        <v>104</v>
      </c>
    </row>
    <row r="20" spans="1:1" x14ac:dyDescent="0.3">
      <c r="A20" s="6" t="s">
        <v>105</v>
      </c>
    </row>
    <row r="21" spans="1:1" ht="15" thickBot="1" x14ac:dyDescent="0.35">
      <c r="A21" s="7" t="s">
        <v>106</v>
      </c>
    </row>
    <row r="22" spans="1:1" ht="15" thickBot="1" x14ac:dyDescent="0.35">
      <c r="A22" s="1" t="s">
        <v>107</v>
      </c>
    </row>
    <row r="23" spans="1:1" ht="15" thickBot="1" x14ac:dyDescent="0.35">
      <c r="A23" s="10" t="s">
        <v>108</v>
      </c>
    </row>
    <row r="24" spans="1:1" ht="15" thickBot="1" x14ac:dyDescent="0.35">
      <c r="A24" s="11" t="s">
        <v>109</v>
      </c>
    </row>
    <row r="25" spans="1:1" ht="15" thickBot="1" x14ac:dyDescent="0.35">
      <c r="A25" s="11" t="s">
        <v>110</v>
      </c>
    </row>
    <row r="26" spans="1:1" ht="15" thickBot="1" x14ac:dyDescent="0.35">
      <c r="A26" s="11"/>
    </row>
    <row r="27" spans="1:1" ht="15" thickBot="1" x14ac:dyDescent="0.35">
      <c r="A27" s="10" t="s">
        <v>111</v>
      </c>
    </row>
    <row r="28" spans="1:1" ht="15" thickBot="1" x14ac:dyDescent="0.35">
      <c r="A28" s="11" t="s">
        <v>112</v>
      </c>
    </row>
    <row r="29" spans="1:1" ht="15" thickBot="1" x14ac:dyDescent="0.35">
      <c r="A29" s="11" t="s">
        <v>113</v>
      </c>
    </row>
    <row r="30" spans="1:1" ht="15" thickBot="1" x14ac:dyDescent="0.35">
      <c r="A30" s="11"/>
    </row>
    <row r="31" spans="1:1" ht="15" thickBot="1" x14ac:dyDescent="0.35">
      <c r="A31" s="10" t="s">
        <v>114</v>
      </c>
    </row>
    <row r="32" spans="1:1" ht="15" thickBot="1" x14ac:dyDescent="0.35">
      <c r="A32" s="11" t="s">
        <v>115</v>
      </c>
    </row>
    <row r="33" spans="1:1" ht="15" thickBot="1" x14ac:dyDescent="0.35">
      <c r="A33" s="11" t="s">
        <v>116</v>
      </c>
    </row>
    <row r="34" spans="1:1" ht="15" thickBot="1" x14ac:dyDescent="0.35">
      <c r="A34" s="11"/>
    </row>
    <row r="35" spans="1:1" ht="15" thickBot="1" x14ac:dyDescent="0.35">
      <c r="A35" s="10" t="s">
        <v>117</v>
      </c>
    </row>
    <row r="36" spans="1:1" ht="15" thickBot="1" x14ac:dyDescent="0.35">
      <c r="A36" s="11" t="s">
        <v>118</v>
      </c>
    </row>
    <row r="37" spans="1:1" ht="15" thickBot="1" x14ac:dyDescent="0.35">
      <c r="A37" s="11" t="s">
        <v>119</v>
      </c>
    </row>
    <row r="38" spans="1:1" ht="15" thickBot="1" x14ac:dyDescent="0.35">
      <c r="A38" s="11" t="s">
        <v>120</v>
      </c>
    </row>
    <row r="39" spans="1:1" ht="15" thickBot="1" x14ac:dyDescent="0.35">
      <c r="A39" s="11"/>
    </row>
    <row r="40" spans="1:1" ht="15" thickBot="1" x14ac:dyDescent="0.35">
      <c r="A40" s="10" t="s">
        <v>121</v>
      </c>
    </row>
    <row r="41" spans="1:1" ht="15" thickBot="1" x14ac:dyDescent="0.35">
      <c r="A41" s="11" t="s">
        <v>122</v>
      </c>
    </row>
    <row r="42" spans="1:1" ht="15" thickBot="1" x14ac:dyDescent="0.35">
      <c r="A42" s="11" t="s">
        <v>123</v>
      </c>
    </row>
    <row r="43" spans="1:1" ht="15" thickBot="1" x14ac:dyDescent="0.35">
      <c r="A43" s="11"/>
    </row>
    <row r="44" spans="1:1" ht="15" thickBot="1" x14ac:dyDescent="0.35">
      <c r="A44" s="10" t="s">
        <v>124</v>
      </c>
    </row>
    <row r="45" spans="1:1" ht="15" thickBot="1" x14ac:dyDescent="0.35">
      <c r="A45" s="11" t="s">
        <v>125</v>
      </c>
    </row>
    <row r="46" spans="1:1" ht="15" thickBot="1" x14ac:dyDescent="0.35">
      <c r="A46" s="11" t="s">
        <v>126</v>
      </c>
    </row>
    <row r="47" spans="1:1" ht="15" thickBot="1" x14ac:dyDescent="0.35">
      <c r="A47" s="11"/>
    </row>
    <row r="48" spans="1:1" ht="15" thickBot="1" x14ac:dyDescent="0.35">
      <c r="A48" s="10" t="s">
        <v>127</v>
      </c>
    </row>
    <row r="49" spans="1:1" ht="15" thickBot="1" x14ac:dyDescent="0.35">
      <c r="A49" s="11" t="s">
        <v>128</v>
      </c>
    </row>
    <row r="50" spans="1:1" ht="15" thickBot="1" x14ac:dyDescent="0.35">
      <c r="A50" s="11" t="s">
        <v>129</v>
      </c>
    </row>
    <row r="51" spans="1:1" ht="15" thickBot="1" x14ac:dyDescent="0.35">
      <c r="A51" s="11"/>
    </row>
    <row r="52" spans="1:1" ht="15" thickBot="1" x14ac:dyDescent="0.35">
      <c r="A52" s="10" t="s">
        <v>130</v>
      </c>
    </row>
    <row r="53" spans="1:1" ht="15" thickBot="1" x14ac:dyDescent="0.35">
      <c r="A53" s="11" t="s">
        <v>131</v>
      </c>
    </row>
    <row r="54" spans="1:1" ht="15" thickBot="1" x14ac:dyDescent="0.35">
      <c r="A54" s="11" t="s">
        <v>132</v>
      </c>
    </row>
    <row r="55" spans="1:1" ht="15" thickBot="1" x14ac:dyDescent="0.35">
      <c r="A55" s="11"/>
    </row>
    <row r="56" spans="1:1" ht="15" thickBot="1" x14ac:dyDescent="0.35">
      <c r="A56" s="10" t="s">
        <v>133</v>
      </c>
    </row>
    <row r="57" spans="1:1" ht="15" thickBot="1" x14ac:dyDescent="0.35">
      <c r="A57" s="11" t="s">
        <v>134</v>
      </c>
    </row>
    <row r="58" spans="1:1" ht="15" thickBot="1" x14ac:dyDescent="0.35">
      <c r="A58" s="11"/>
    </row>
    <row r="59" spans="1:1" ht="15" thickBot="1" x14ac:dyDescent="0.35">
      <c r="A59" s="10" t="s">
        <v>135</v>
      </c>
    </row>
    <row r="60" spans="1:1" ht="15" thickBot="1" x14ac:dyDescent="0.35">
      <c r="A60" s="11" t="s">
        <v>136</v>
      </c>
    </row>
    <row r="61" spans="1:1" ht="15" thickBot="1" x14ac:dyDescent="0.35">
      <c r="A61" s="11"/>
    </row>
    <row r="62" spans="1:1" ht="15" thickBot="1" x14ac:dyDescent="0.35">
      <c r="A62" s="10" t="s">
        <v>137</v>
      </c>
    </row>
    <row r="63" spans="1:1" ht="15" thickBot="1" x14ac:dyDescent="0.35">
      <c r="A63" s="11" t="s">
        <v>138</v>
      </c>
    </row>
    <row r="64" spans="1:1" ht="15" thickBot="1" x14ac:dyDescent="0.35">
      <c r="A64" s="11"/>
    </row>
    <row r="65" spans="1:1" ht="15" thickBot="1" x14ac:dyDescent="0.35">
      <c r="A65" s="10" t="s">
        <v>139</v>
      </c>
    </row>
    <row r="66" spans="1:1" ht="15" thickBot="1" x14ac:dyDescent="0.35">
      <c r="A66" s="11" t="s">
        <v>140</v>
      </c>
    </row>
    <row r="67" spans="1:1" ht="15" thickBot="1" x14ac:dyDescent="0.35">
      <c r="A67" s="11" t="s">
        <v>141</v>
      </c>
    </row>
    <row r="68" spans="1:1" ht="15" thickBot="1" x14ac:dyDescent="0.35">
      <c r="A68" s="11"/>
    </row>
    <row r="69" spans="1:1" ht="15" thickBot="1" x14ac:dyDescent="0.35">
      <c r="A69" s="10" t="s">
        <v>142</v>
      </c>
    </row>
    <row r="70" spans="1:1" ht="15" thickBot="1" x14ac:dyDescent="0.35">
      <c r="A70" s="11" t="s">
        <v>143</v>
      </c>
    </row>
    <row r="71" spans="1:1" ht="15" thickBot="1" x14ac:dyDescent="0.35">
      <c r="A71" s="11"/>
    </row>
    <row r="72" spans="1:1" ht="15" thickBot="1" x14ac:dyDescent="0.35">
      <c r="A72" s="10" t="s">
        <v>144</v>
      </c>
    </row>
    <row r="73" spans="1:1" ht="15" thickBot="1" x14ac:dyDescent="0.35">
      <c r="A73" s="11" t="s">
        <v>145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F158-70C7-40DA-8A90-345B47000316}">
  <dimension ref="A1:O33"/>
  <sheetViews>
    <sheetView topLeftCell="G1" zoomScaleNormal="100" workbookViewId="0">
      <selection activeCell="M11" sqref="M11"/>
    </sheetView>
  </sheetViews>
  <sheetFormatPr defaultColWidth="15.6640625" defaultRowHeight="18" customHeight="1" x14ac:dyDescent="0.3"/>
  <cols>
    <col min="4" max="4" width="14.77734375" customWidth="1"/>
    <col min="6" max="6" width="16.88671875" customWidth="1"/>
    <col min="8" max="8" width="19.33203125" customWidth="1"/>
    <col min="9" max="9" width="16.44140625" customWidth="1"/>
    <col min="10" max="10" width="31.33203125" bestFit="1" customWidth="1"/>
    <col min="11" max="11" width="18.44140625" customWidth="1"/>
  </cols>
  <sheetData>
    <row r="1" spans="1:15" ht="1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147</v>
      </c>
      <c r="H1" s="2" t="s">
        <v>152</v>
      </c>
      <c r="I1" s="2" t="s">
        <v>148</v>
      </c>
      <c r="J1" s="16" t="s">
        <v>164</v>
      </c>
      <c r="K1" s="2" t="s">
        <v>151</v>
      </c>
      <c r="L1" s="2" t="s">
        <v>159</v>
      </c>
      <c r="M1" s="2" t="s">
        <v>160</v>
      </c>
      <c r="N1" s="2" t="s">
        <v>161</v>
      </c>
      <c r="O1" s="2" t="s">
        <v>162</v>
      </c>
    </row>
    <row r="2" spans="1:15" ht="18" customHeight="1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 s="4">
        <f t="shared" ref="G2:G21" si="0">SUM(C2:S2)</f>
        <v>185</v>
      </c>
      <c r="H2" s="12">
        <f>AVERAGE(C2:E2)</f>
        <v>61.666666666666664</v>
      </c>
      <c r="I2" s="4" t="str" cm="1">
        <f t="array" ref="I2">_xlfn.IFS(H2&gt;=90,"A",H2&gt;=80,"B",H2&gt;=70,"C",TRUE,"D")</f>
        <v>D</v>
      </c>
      <c r="J2" s="4" t="str">
        <f>IF(AND(C2&gt;80,D2&gt;80),"scored 80 above", "-")</f>
        <v>-</v>
      </c>
      <c r="K2" s="4">
        <f>COUNTIFS(C2:C21,"&gt;60",D2:D21,"&gt;60",E2:E21,"&gt;60")</f>
        <v>6</v>
      </c>
      <c r="L2" s="4" t="str">
        <f>UPPER(B2)</f>
        <v>STUDENT 1</v>
      </c>
      <c r="M2" s="4" t="str">
        <f>LOWER(B2)</f>
        <v>student 1</v>
      </c>
      <c r="N2" s="15" t="s">
        <v>6</v>
      </c>
      <c r="O2" s="17" t="s">
        <v>6</v>
      </c>
    </row>
    <row r="3" spans="1:15" ht="18" customHeight="1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4">
        <f t="shared" si="0"/>
        <v>224</v>
      </c>
      <c r="H3" s="12">
        <f t="shared" ref="H3:H20" si="1">AVERAGE(C3:E3)</f>
        <v>74.666666666666671</v>
      </c>
      <c r="I3" s="4" t="str" cm="1">
        <f t="array" ref="I3">_xlfn.IFS(H3&gt;=90,"A",H3&gt;=80,"B",H3&gt;=70,"C",TRUE,"D")</f>
        <v>C</v>
      </c>
      <c r="J3" s="4" t="str">
        <f t="shared" ref="J3:J20" si="2">IF(AND(C3&gt;80,D3&gt;80),"scored 80 above", "-")</f>
        <v>-</v>
      </c>
    </row>
    <row r="4" spans="1:15" ht="18" customHeight="1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 s="4">
        <f t="shared" si="0"/>
        <v>208</v>
      </c>
      <c r="H4" s="12">
        <f t="shared" si="1"/>
        <v>69.333333333333329</v>
      </c>
      <c r="I4" s="4" t="str" cm="1">
        <f t="array" ref="I4">_xlfn.IFS(H4&gt;=90,"A",H4&gt;=80,"B",H4&gt;=70,"C",TRUE,"D")</f>
        <v>D</v>
      </c>
      <c r="J4" s="4" t="str">
        <f t="shared" si="2"/>
        <v>-</v>
      </c>
    </row>
    <row r="5" spans="1:15" ht="18" customHeight="1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4">
        <f t="shared" si="0"/>
        <v>175</v>
      </c>
      <c r="H5" s="12">
        <f t="shared" si="1"/>
        <v>58.333333333333336</v>
      </c>
      <c r="I5" s="4" t="str" cm="1">
        <f t="array" ref="I5">_xlfn.IFS(H5&gt;=90,"A",H5&gt;=80,"B",H5&gt;=70,"C",TRUE,"D")</f>
        <v>D</v>
      </c>
      <c r="J5" s="4" t="str">
        <f t="shared" si="2"/>
        <v>-</v>
      </c>
    </row>
    <row r="6" spans="1:15" ht="18" customHeight="1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 s="4">
        <f t="shared" si="0"/>
        <v>226</v>
      </c>
      <c r="H6" s="12">
        <f t="shared" si="1"/>
        <v>75.333333333333329</v>
      </c>
      <c r="I6" s="4" t="str" cm="1">
        <f t="array" ref="I6">_xlfn.IFS(H6&gt;=90,"A",H6&gt;=80,"B",H6&gt;=70,"C",TRUE,"D")</f>
        <v>C</v>
      </c>
      <c r="J6" s="4" t="str">
        <f t="shared" si="2"/>
        <v>-</v>
      </c>
    </row>
    <row r="7" spans="1:15" ht="18" customHeight="1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4">
        <f t="shared" si="0"/>
        <v>215</v>
      </c>
      <c r="H7" s="12">
        <f t="shared" si="1"/>
        <v>71.666666666666671</v>
      </c>
      <c r="I7" s="4" t="str" cm="1">
        <f t="array" ref="I7">_xlfn.IFS(H7&gt;=90,"A",H7&gt;=80,"B",H7&gt;=70,"C",TRUE,"D")</f>
        <v>C</v>
      </c>
      <c r="J7" s="4" t="str">
        <f t="shared" si="2"/>
        <v>-</v>
      </c>
    </row>
    <row r="8" spans="1:15" ht="18" customHeight="1" thickBot="1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 s="4">
        <f t="shared" si="0"/>
        <v>200</v>
      </c>
      <c r="H8" s="12">
        <f t="shared" si="1"/>
        <v>66.666666666666671</v>
      </c>
      <c r="I8" s="4" t="str" cm="1">
        <f t="array" ref="I8">_xlfn.IFS(H8&gt;=90,"A",H8&gt;=80,"B",H8&gt;=70,"C",TRUE,"D")</f>
        <v>D</v>
      </c>
      <c r="J8" s="4" t="str">
        <f t="shared" si="2"/>
        <v>-</v>
      </c>
    </row>
    <row r="9" spans="1:15" ht="18" customHeight="1" thickBot="1" x14ac:dyDescent="0.3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4">
        <f t="shared" si="0"/>
        <v>225</v>
      </c>
      <c r="H9" s="12">
        <f t="shared" si="1"/>
        <v>75</v>
      </c>
      <c r="I9" s="4" t="str" cm="1">
        <f t="array" ref="I9">_xlfn.IFS(H9&gt;=90,"A",H9&gt;=80,"B",H9&gt;=70,"C",TRUE,"D")</f>
        <v>C</v>
      </c>
      <c r="J9" s="4" t="str">
        <f t="shared" si="2"/>
        <v>-</v>
      </c>
    </row>
    <row r="10" spans="1:15" ht="18" customHeight="1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 s="4">
        <f t="shared" si="0"/>
        <v>172</v>
      </c>
      <c r="H10" s="12">
        <f t="shared" si="1"/>
        <v>57.333333333333336</v>
      </c>
      <c r="I10" s="4" t="str" cm="1">
        <f t="array" ref="I10">_xlfn.IFS(H10&gt;=90,"A",H10&gt;=80,"B",H10&gt;=70,"C",TRUE,"D")</f>
        <v>D</v>
      </c>
      <c r="J10" s="4" t="str">
        <f t="shared" si="2"/>
        <v>-</v>
      </c>
    </row>
    <row r="11" spans="1:15" ht="18" customHeight="1" thickBo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4">
        <f t="shared" si="0"/>
        <v>210</v>
      </c>
      <c r="H11" s="12">
        <f t="shared" si="1"/>
        <v>70</v>
      </c>
      <c r="I11" s="4" t="str" cm="1">
        <f t="array" ref="I11">_xlfn.IFS(H11&gt;=90,"A",H11&gt;=80,"B",H11&gt;=70,"C",TRUE,"D")</f>
        <v>C</v>
      </c>
      <c r="J11" s="4" t="str">
        <f t="shared" si="2"/>
        <v>-</v>
      </c>
    </row>
    <row r="12" spans="1:15" ht="18" customHeight="1" thickBo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 s="4">
        <f t="shared" si="0"/>
        <v>205</v>
      </c>
      <c r="H12" s="12">
        <f t="shared" si="1"/>
        <v>68.333333333333329</v>
      </c>
      <c r="I12" s="4" t="str" cm="1">
        <f t="array" ref="I12">_xlfn.IFS(H12&gt;=90,"A",H12&gt;=80,"B",H12&gt;=70,"C",TRUE,"D")</f>
        <v>D</v>
      </c>
      <c r="J12" s="4" t="str">
        <f t="shared" si="2"/>
        <v>-</v>
      </c>
    </row>
    <row r="13" spans="1:15" ht="18" customHeight="1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4">
        <f t="shared" si="0"/>
        <v>253</v>
      </c>
      <c r="H13" s="12">
        <f t="shared" si="1"/>
        <v>84.333333333333329</v>
      </c>
      <c r="I13" s="4" t="str" cm="1">
        <f t="array" ref="I13">_xlfn.IFS(H13&gt;=90,"A",H13&gt;=80,"B",H13&gt;=70,"C",TRUE,"D")</f>
        <v>B</v>
      </c>
      <c r="J13" s="4" t="str">
        <f t="shared" si="2"/>
        <v>scored 80 above</v>
      </c>
    </row>
    <row r="14" spans="1:15" ht="18" customHeight="1" thickBot="1" x14ac:dyDescent="0.3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 s="4">
        <f t="shared" si="0"/>
        <v>285</v>
      </c>
      <c r="H14" s="12">
        <f t="shared" si="1"/>
        <v>95</v>
      </c>
      <c r="I14" s="4" t="str" cm="1">
        <f t="array" ref="I14">_xlfn.IFS(H14&gt;=90,"A",H14&gt;=80,"B",H14&gt;=70,"C",TRUE,"D")</f>
        <v>A</v>
      </c>
      <c r="J14" s="4" t="str">
        <f t="shared" si="2"/>
        <v>scored 80 above</v>
      </c>
    </row>
    <row r="15" spans="1:15" ht="18" customHeight="1" thickBo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4">
        <f t="shared" si="0"/>
        <v>177</v>
      </c>
      <c r="H15" s="12">
        <f t="shared" si="1"/>
        <v>59</v>
      </c>
      <c r="I15" s="4" t="str" cm="1">
        <f t="array" ref="I15">_xlfn.IFS(H15&gt;=90,"A",H15&gt;=80,"B",H15&gt;=70,"C",TRUE,"D")</f>
        <v>D</v>
      </c>
      <c r="J15" s="4" t="str">
        <f t="shared" si="2"/>
        <v>-</v>
      </c>
    </row>
    <row r="16" spans="1:15" ht="18" customHeight="1" thickBot="1" x14ac:dyDescent="0.35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5">
        <v>45621</v>
      </c>
      <c r="G16" s="4">
        <f t="shared" si="0"/>
        <v>196</v>
      </c>
      <c r="H16" s="12">
        <f t="shared" si="1"/>
        <v>65.333333333333329</v>
      </c>
      <c r="I16" s="4" t="str" cm="1">
        <f t="array" ref="I16">_xlfn.IFS(H16&gt;=90,"A",H16&gt;=80,"B",H16&gt;=70,"C",TRUE,"D")</f>
        <v>D</v>
      </c>
      <c r="J16" s="4" t="str">
        <f t="shared" si="2"/>
        <v>-</v>
      </c>
    </row>
    <row r="17" spans="1:10" ht="18" customHeight="1" thickBot="1" x14ac:dyDescent="0.3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4">
        <f t="shared" si="0"/>
        <v>235</v>
      </c>
      <c r="H17" s="12">
        <f t="shared" si="1"/>
        <v>78.333333333333329</v>
      </c>
      <c r="I17" s="4" t="str" cm="1">
        <f t="array" ref="I17">_xlfn.IFS(H17&gt;=90,"A",H17&gt;=80,"B",H17&gt;=70,"C",TRUE,"D")</f>
        <v>C</v>
      </c>
      <c r="J17" s="4" t="str">
        <f t="shared" si="2"/>
        <v>-</v>
      </c>
    </row>
    <row r="18" spans="1:10" ht="18" customHeight="1" thickBot="1" x14ac:dyDescent="0.35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5">
        <v>45981</v>
      </c>
      <c r="G18" s="4">
        <f t="shared" si="0"/>
        <v>165</v>
      </c>
      <c r="H18" s="12">
        <f t="shared" si="1"/>
        <v>55</v>
      </c>
      <c r="I18" s="4" t="str" cm="1">
        <f t="array" ref="I18">_xlfn.IFS(H18&gt;=90,"A",H18&gt;=80,"B",H18&gt;=70,"C",TRUE,"D")</f>
        <v>D</v>
      </c>
      <c r="J18" s="4" t="str">
        <f t="shared" si="2"/>
        <v>-</v>
      </c>
    </row>
    <row r="19" spans="1:10" ht="18" customHeight="1" thickBot="1" x14ac:dyDescent="0.35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 s="4">
        <f t="shared" si="0"/>
        <v>209</v>
      </c>
      <c r="H19" s="12">
        <f t="shared" si="1"/>
        <v>69.666666666666671</v>
      </c>
      <c r="I19" s="4" t="str" cm="1">
        <f t="array" ref="I19">_xlfn.IFS(H19&gt;=90,"A",H19&gt;=80,"B",H19&gt;=70,"C",TRUE,"D")</f>
        <v>D</v>
      </c>
      <c r="J19" s="4" t="str">
        <f t="shared" si="2"/>
        <v>-</v>
      </c>
    </row>
    <row r="20" spans="1:10" ht="18" customHeight="1" thickBot="1" x14ac:dyDescent="0.35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5">
        <v>46341</v>
      </c>
      <c r="G20" s="4">
        <f t="shared" si="0"/>
        <v>228</v>
      </c>
      <c r="H20" s="12">
        <f t="shared" si="1"/>
        <v>76</v>
      </c>
      <c r="I20" s="4" t="str" cm="1">
        <f t="array" ref="I20">_xlfn.IFS(H20&gt;=90,"A",H20&gt;=80,"B",H20&gt;=70,"C",TRUE,"D")</f>
        <v>C</v>
      </c>
      <c r="J20" s="4" t="str">
        <f t="shared" si="2"/>
        <v>-</v>
      </c>
    </row>
    <row r="21" spans="1:10" ht="18" customHeight="1" thickBot="1" x14ac:dyDescent="0.35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5">
        <v>46521</v>
      </c>
      <c r="G21" s="4">
        <f t="shared" ca="1" si="0"/>
        <v>230</v>
      </c>
      <c r="H21" s="12">
        <f ca="1">AVERAGE(C21:C40,D21:D40,E22:E24)</f>
        <v>87.5</v>
      </c>
      <c r="I21" s="4" t="s">
        <v>163</v>
      </c>
      <c r="J21" s="4"/>
    </row>
    <row r="25" spans="1:10" ht="18" customHeight="1" x14ac:dyDescent="0.3">
      <c r="A25" cm="1">
        <f t="array" aca="1" ref="A25:I33" ca="1">_xlfn._xlws.FILTER(A2:I21,H2:H21&gt;70)</f>
        <v>1002</v>
      </c>
      <c r="B25" t="str">
        <f ca="1"/>
        <v>Student 2</v>
      </c>
      <c r="C25">
        <f ca="1"/>
        <v>78</v>
      </c>
      <c r="D25">
        <f ca="1"/>
        <v>76</v>
      </c>
      <c r="E25">
        <f ca="1"/>
        <v>70</v>
      </c>
      <c r="F25">
        <f ca="1"/>
        <v>43281</v>
      </c>
      <c r="G25">
        <f ca="1"/>
        <v>224</v>
      </c>
      <c r="H25">
        <f ca="1"/>
        <v>74.666666666666671</v>
      </c>
      <c r="I25" t="str">
        <f ca="1"/>
        <v>C</v>
      </c>
    </row>
    <row r="26" spans="1:10" ht="18" customHeight="1" x14ac:dyDescent="0.3">
      <c r="A26">
        <f ca="1"/>
        <v>1005</v>
      </c>
      <c r="B26" t="str">
        <f ca="1"/>
        <v>Student 5</v>
      </c>
      <c r="C26">
        <f ca="1"/>
        <v>68</v>
      </c>
      <c r="D26">
        <f ca="1"/>
        <v>74</v>
      </c>
      <c r="E26">
        <f ca="1"/>
        <v>84</v>
      </c>
      <c r="F26">
        <f ca="1"/>
        <v>43821</v>
      </c>
      <c r="G26">
        <f ca="1"/>
        <v>226</v>
      </c>
      <c r="H26">
        <f ca="1"/>
        <v>75.333333333333329</v>
      </c>
      <c r="I26" t="str">
        <f ca="1"/>
        <v>C</v>
      </c>
    </row>
    <row r="27" spans="1:10" ht="18" customHeight="1" x14ac:dyDescent="0.3">
      <c r="A27">
        <f ca="1"/>
        <v>1006</v>
      </c>
      <c r="B27" t="str">
        <f ca="1"/>
        <v>Student 6</v>
      </c>
      <c r="C27">
        <f ca="1"/>
        <v>80</v>
      </c>
      <c r="D27">
        <f ca="1"/>
        <v>70</v>
      </c>
      <c r="E27">
        <f ca="1"/>
        <v>65</v>
      </c>
      <c r="F27">
        <f ca="1"/>
        <v>44001</v>
      </c>
      <c r="G27">
        <f ca="1"/>
        <v>215</v>
      </c>
      <c r="H27">
        <f ca="1"/>
        <v>71.666666666666671</v>
      </c>
      <c r="I27" t="str">
        <f ca="1"/>
        <v>C</v>
      </c>
    </row>
    <row r="28" spans="1:10" ht="18" customHeight="1" x14ac:dyDescent="0.3">
      <c r="A28">
        <f ca="1"/>
        <v>1008</v>
      </c>
      <c r="B28" t="str">
        <f ca="1"/>
        <v>Student 8</v>
      </c>
      <c r="C28">
        <f ca="1"/>
        <v>94</v>
      </c>
      <c r="D28">
        <f ca="1"/>
        <v>67</v>
      </c>
      <c r="E28">
        <f ca="1"/>
        <v>64</v>
      </c>
      <c r="F28">
        <f ca="1"/>
        <v>44361</v>
      </c>
      <c r="G28">
        <f ca="1"/>
        <v>225</v>
      </c>
      <c r="H28">
        <f ca="1"/>
        <v>75</v>
      </c>
      <c r="I28" t="str">
        <f ca="1"/>
        <v>C</v>
      </c>
    </row>
    <row r="29" spans="1:10" ht="18" customHeight="1" x14ac:dyDescent="0.3">
      <c r="A29">
        <f ca="1"/>
        <v>1012</v>
      </c>
      <c r="B29" t="str">
        <f ca="1"/>
        <v>Student 12</v>
      </c>
      <c r="C29">
        <f ca="1"/>
        <v>85</v>
      </c>
      <c r="D29">
        <f ca="1"/>
        <v>89</v>
      </c>
      <c r="E29">
        <f ca="1"/>
        <v>79</v>
      </c>
      <c r="F29">
        <f ca="1"/>
        <v>45081</v>
      </c>
      <c r="G29">
        <f ca="1"/>
        <v>253</v>
      </c>
      <c r="H29">
        <f ca="1"/>
        <v>84.333333333333329</v>
      </c>
      <c r="I29" t="str">
        <f ca="1"/>
        <v>B</v>
      </c>
    </row>
    <row r="30" spans="1:10" ht="18" customHeight="1" x14ac:dyDescent="0.3">
      <c r="A30">
        <f ca="1"/>
        <v>1013</v>
      </c>
      <c r="B30" t="str">
        <f ca="1"/>
        <v>Student 13</v>
      </c>
      <c r="C30">
        <f ca="1"/>
        <v>98</v>
      </c>
      <c r="D30">
        <f ca="1"/>
        <v>90</v>
      </c>
      <c r="E30">
        <f ca="1"/>
        <v>97</v>
      </c>
      <c r="F30">
        <f ca="1"/>
        <v>45261</v>
      </c>
      <c r="G30">
        <f ca="1"/>
        <v>285</v>
      </c>
      <c r="H30">
        <f ca="1"/>
        <v>95</v>
      </c>
      <c r="I30" t="str">
        <f ca="1"/>
        <v>A</v>
      </c>
    </row>
    <row r="31" spans="1:10" ht="18" customHeight="1" x14ac:dyDescent="0.3">
      <c r="A31">
        <f ca="1"/>
        <v>1016</v>
      </c>
      <c r="B31" t="str">
        <f ca="1"/>
        <v>Student 16</v>
      </c>
      <c r="C31">
        <f ca="1"/>
        <v>98</v>
      </c>
      <c r="D31">
        <f ca="1"/>
        <v>77</v>
      </c>
      <c r="E31">
        <f ca="1"/>
        <v>60</v>
      </c>
      <c r="F31">
        <f ca="1"/>
        <v>45801</v>
      </c>
      <c r="G31">
        <f ca="1"/>
        <v>235</v>
      </c>
      <c r="H31">
        <f ca="1"/>
        <v>78.333333333333329</v>
      </c>
      <c r="I31" t="str">
        <f ca="1"/>
        <v>C</v>
      </c>
    </row>
    <row r="32" spans="1:10" ht="18" customHeight="1" x14ac:dyDescent="0.3">
      <c r="A32">
        <f ca="1"/>
        <v>1019</v>
      </c>
      <c r="B32" t="str">
        <f ca="1"/>
        <v>Student 19</v>
      </c>
      <c r="C32">
        <f ca="1"/>
        <v>90</v>
      </c>
      <c r="D32">
        <f ca="1"/>
        <v>78</v>
      </c>
      <c r="E32">
        <f ca="1"/>
        <v>60</v>
      </c>
      <c r="F32">
        <f ca="1"/>
        <v>46341</v>
      </c>
      <c r="G32">
        <f ca="1"/>
        <v>228</v>
      </c>
      <c r="H32">
        <f ca="1"/>
        <v>76</v>
      </c>
      <c r="I32" t="str">
        <f ca="1"/>
        <v>C</v>
      </c>
    </row>
    <row r="33" spans="1:9" ht="18" customHeight="1" x14ac:dyDescent="0.3">
      <c r="A33">
        <f ca="1"/>
        <v>1020</v>
      </c>
      <c r="B33" t="str">
        <f ca="1"/>
        <v>Student 20</v>
      </c>
      <c r="C33">
        <f ca="1"/>
        <v>83</v>
      </c>
      <c r="D33">
        <f ca="1"/>
        <v>92</v>
      </c>
      <c r="E33">
        <f ca="1"/>
        <v>55</v>
      </c>
      <c r="F33">
        <f ca="1"/>
        <v>46521</v>
      </c>
      <c r="G33">
        <f ca="1"/>
        <v>230</v>
      </c>
      <c r="H33">
        <f ca="1"/>
        <v>87.5</v>
      </c>
      <c r="I33" t="str">
        <f ca="1"/>
        <v>C</v>
      </c>
    </row>
  </sheetData>
  <phoneticPr fontId="6" type="noConversion"/>
  <pageMargins left="0.7" right="0.7" top="0.75" bottom="0.75" header="0.3" footer="0.3"/>
  <ignoredErrors>
    <ignoredError sqref="H2:H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D294-0BD4-4AA5-9B68-2842C7DD1949}">
  <dimension ref="A1:M21"/>
  <sheetViews>
    <sheetView zoomScale="94" workbookViewId="0">
      <selection activeCell="P11" sqref="P11"/>
    </sheetView>
  </sheetViews>
  <sheetFormatPr defaultColWidth="14.33203125" defaultRowHeight="19.2" customHeight="1" x14ac:dyDescent="0.3"/>
  <cols>
    <col min="6" max="6" width="16.21875" customWidth="1"/>
    <col min="8" max="10" width="14.33203125" customWidth="1"/>
    <col min="16" max="16" width="17.6640625" bestFit="1" customWidth="1"/>
  </cols>
  <sheetData>
    <row r="1" spans="1:13" ht="19.2" customHeight="1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H1" s="18" t="s">
        <v>166</v>
      </c>
      <c r="I1" s="19"/>
      <c r="J1" s="20"/>
      <c r="L1" s="21" t="s">
        <v>167</v>
      </c>
      <c r="M1" s="21"/>
    </row>
    <row r="2" spans="1:13" ht="19.2" customHeight="1" thickBot="1" x14ac:dyDescent="0.35">
      <c r="A2" s="3">
        <v>1</v>
      </c>
      <c r="B2" s="4" t="s">
        <v>32</v>
      </c>
      <c r="C2" s="4" t="s">
        <v>33</v>
      </c>
      <c r="D2" s="4" t="s">
        <v>34</v>
      </c>
      <c r="E2" s="4">
        <v>7048</v>
      </c>
      <c r="F2" s="5">
        <v>44927</v>
      </c>
      <c r="H2" s="1" t="s">
        <v>149</v>
      </c>
      <c r="I2" s="1" t="s">
        <v>153</v>
      </c>
      <c r="J2" s="1" t="s">
        <v>150</v>
      </c>
      <c r="L2" s="2" t="s">
        <v>157</v>
      </c>
      <c r="M2" s="2" t="s">
        <v>158</v>
      </c>
    </row>
    <row r="3" spans="1:13" ht="19.2" customHeight="1" thickBot="1" x14ac:dyDescent="0.35">
      <c r="A3" s="3">
        <v>2</v>
      </c>
      <c r="B3" s="4" t="s">
        <v>35</v>
      </c>
      <c r="C3" s="4" t="s">
        <v>36</v>
      </c>
      <c r="D3" s="4" t="s">
        <v>37</v>
      </c>
      <c r="E3" s="4">
        <v>17428</v>
      </c>
      <c r="F3" s="5">
        <v>44942</v>
      </c>
      <c r="H3" s="3">
        <v>3</v>
      </c>
      <c r="I3" s="3" t="str">
        <f>VLOOKUP(H3,A2:F21,2)</f>
        <v>Mouse</v>
      </c>
      <c r="J3" s="3">
        <f>VLOOKUP(H3,A2:F21,5)</f>
        <v>23672</v>
      </c>
      <c r="L3" s="4">
        <f>MAX(E2:E21)</f>
        <v>46429</v>
      </c>
      <c r="M3" s="4">
        <f>MIN(E2:E21)</f>
        <v>5264</v>
      </c>
    </row>
    <row r="4" spans="1:13" ht="19.2" customHeight="1" thickBot="1" x14ac:dyDescent="0.35">
      <c r="A4" s="3">
        <v>3</v>
      </c>
      <c r="B4" s="4" t="s">
        <v>38</v>
      </c>
      <c r="C4" s="4" t="s">
        <v>33</v>
      </c>
      <c r="D4" s="4" t="s">
        <v>39</v>
      </c>
      <c r="E4" s="4">
        <v>23672</v>
      </c>
      <c r="F4" s="5">
        <v>44957</v>
      </c>
    </row>
    <row r="5" spans="1:13" ht="19.2" customHeight="1" thickBot="1" x14ac:dyDescent="0.35">
      <c r="A5" s="3">
        <v>4</v>
      </c>
      <c r="B5" s="4" t="s">
        <v>35</v>
      </c>
      <c r="C5" s="4" t="s">
        <v>40</v>
      </c>
      <c r="D5" s="4" t="s">
        <v>41</v>
      </c>
      <c r="E5" s="4">
        <v>5264</v>
      </c>
      <c r="F5" s="5">
        <v>44972</v>
      </c>
    </row>
    <row r="6" spans="1:13" ht="19.2" customHeight="1" thickBot="1" x14ac:dyDescent="0.35">
      <c r="A6" s="3">
        <v>5</v>
      </c>
      <c r="B6" s="4" t="s">
        <v>32</v>
      </c>
      <c r="C6" s="4" t="s">
        <v>42</v>
      </c>
      <c r="D6" s="4" t="s">
        <v>43</v>
      </c>
      <c r="E6" s="4">
        <v>43388</v>
      </c>
      <c r="F6" s="5">
        <v>44987</v>
      </c>
    </row>
    <row r="7" spans="1:13" ht="19.2" customHeight="1" thickBot="1" x14ac:dyDescent="0.35">
      <c r="A7" s="3">
        <v>6</v>
      </c>
      <c r="B7" s="4" t="s">
        <v>38</v>
      </c>
      <c r="C7" s="4" t="s">
        <v>42</v>
      </c>
      <c r="D7" s="4" t="s">
        <v>44</v>
      </c>
      <c r="E7" s="4">
        <v>19757</v>
      </c>
      <c r="F7" s="5">
        <v>45002</v>
      </c>
    </row>
    <row r="8" spans="1:13" ht="19.2" customHeight="1" thickBot="1" x14ac:dyDescent="0.35">
      <c r="A8" s="3">
        <v>7</v>
      </c>
      <c r="B8" s="4" t="s">
        <v>38</v>
      </c>
      <c r="C8" s="4" t="s">
        <v>40</v>
      </c>
      <c r="D8" s="4" t="s">
        <v>45</v>
      </c>
      <c r="E8" s="4">
        <v>32058</v>
      </c>
      <c r="F8" s="5">
        <v>45017</v>
      </c>
    </row>
    <row r="9" spans="1:13" ht="19.2" customHeight="1" thickBot="1" x14ac:dyDescent="0.35">
      <c r="A9" s="3">
        <v>8</v>
      </c>
      <c r="B9" s="4" t="s">
        <v>32</v>
      </c>
      <c r="C9" s="4" t="s">
        <v>40</v>
      </c>
      <c r="D9" s="4" t="s">
        <v>46</v>
      </c>
      <c r="E9" s="4">
        <v>46429</v>
      </c>
      <c r="F9" s="5">
        <v>45032</v>
      </c>
    </row>
    <row r="10" spans="1:13" ht="19.2" customHeight="1" thickBot="1" x14ac:dyDescent="0.35">
      <c r="A10" s="3">
        <v>9</v>
      </c>
      <c r="B10" s="4" t="s">
        <v>35</v>
      </c>
      <c r="C10" s="4" t="s">
        <v>40</v>
      </c>
      <c r="D10" s="4" t="s">
        <v>47</v>
      </c>
      <c r="E10" s="4">
        <v>19746</v>
      </c>
      <c r="F10" s="5">
        <v>45047</v>
      </c>
    </row>
    <row r="11" spans="1:13" ht="19.2" customHeight="1" thickBot="1" x14ac:dyDescent="0.35">
      <c r="A11" s="3">
        <v>10</v>
      </c>
      <c r="B11" s="4" t="s">
        <v>32</v>
      </c>
      <c r="C11" s="4" t="s">
        <v>33</v>
      </c>
      <c r="D11" s="4" t="s">
        <v>48</v>
      </c>
      <c r="E11" s="4">
        <v>35185</v>
      </c>
      <c r="F11" s="5">
        <v>45062</v>
      </c>
    </row>
    <row r="12" spans="1:13" ht="19.2" customHeight="1" thickBot="1" x14ac:dyDescent="0.35">
      <c r="A12" s="3">
        <v>11</v>
      </c>
      <c r="B12" s="4" t="s">
        <v>32</v>
      </c>
      <c r="C12" s="4" t="s">
        <v>40</v>
      </c>
      <c r="D12" s="4" t="s">
        <v>49</v>
      </c>
      <c r="E12" s="4">
        <v>33920</v>
      </c>
      <c r="F12" s="5">
        <v>45077</v>
      </c>
    </row>
    <row r="13" spans="1:13" ht="19.2" customHeight="1" thickBot="1" x14ac:dyDescent="0.35">
      <c r="A13" s="3">
        <v>12</v>
      </c>
      <c r="B13" s="4" t="s">
        <v>50</v>
      </c>
      <c r="C13" s="4" t="s">
        <v>42</v>
      </c>
      <c r="D13" s="4" t="s">
        <v>51</v>
      </c>
      <c r="E13" s="4">
        <v>35611</v>
      </c>
      <c r="F13" s="5">
        <v>45092</v>
      </c>
    </row>
    <row r="14" spans="1:13" ht="19.2" customHeight="1" thickBot="1" x14ac:dyDescent="0.35">
      <c r="A14" s="3">
        <v>13</v>
      </c>
      <c r="B14" s="4" t="s">
        <v>52</v>
      </c>
      <c r="C14" s="4" t="s">
        <v>40</v>
      </c>
      <c r="D14" s="4" t="s">
        <v>53</v>
      </c>
      <c r="E14" s="4">
        <v>15560</v>
      </c>
      <c r="F14" s="5">
        <v>45107</v>
      </c>
    </row>
    <row r="15" spans="1:13" ht="19.2" customHeight="1" thickBot="1" x14ac:dyDescent="0.35">
      <c r="A15" s="3">
        <v>14</v>
      </c>
      <c r="B15" s="4" t="s">
        <v>52</v>
      </c>
      <c r="C15" s="4" t="s">
        <v>33</v>
      </c>
      <c r="D15" s="4" t="s">
        <v>54</v>
      </c>
      <c r="E15" s="4">
        <v>7283</v>
      </c>
      <c r="F15" s="5">
        <v>45122</v>
      </c>
    </row>
    <row r="16" spans="1:13" ht="19.2" customHeight="1" thickBot="1" x14ac:dyDescent="0.35">
      <c r="A16" s="3">
        <v>15</v>
      </c>
      <c r="B16" s="4" t="s">
        <v>52</v>
      </c>
      <c r="C16" s="4" t="s">
        <v>40</v>
      </c>
      <c r="D16" s="4" t="s">
        <v>55</v>
      </c>
      <c r="E16" s="4">
        <v>15678</v>
      </c>
      <c r="F16" s="5">
        <v>45137</v>
      </c>
    </row>
    <row r="17" spans="1:6" ht="19.2" customHeight="1" thickBot="1" x14ac:dyDescent="0.35">
      <c r="A17" s="3">
        <v>16</v>
      </c>
      <c r="B17" s="4" t="s">
        <v>38</v>
      </c>
      <c r="C17" s="4" t="s">
        <v>40</v>
      </c>
      <c r="D17" s="4" t="s">
        <v>56</v>
      </c>
      <c r="E17" s="4">
        <v>5277</v>
      </c>
      <c r="F17" s="5">
        <v>45152</v>
      </c>
    </row>
    <row r="18" spans="1:6" ht="19.2" customHeight="1" thickBot="1" x14ac:dyDescent="0.35">
      <c r="A18" s="3">
        <v>17</v>
      </c>
      <c r="B18" s="4" t="s">
        <v>50</v>
      </c>
      <c r="C18" s="4" t="s">
        <v>42</v>
      </c>
      <c r="D18" s="4" t="s">
        <v>57</v>
      </c>
      <c r="E18" s="4">
        <v>41871</v>
      </c>
      <c r="F18" s="5">
        <v>45167</v>
      </c>
    </row>
    <row r="19" spans="1:6" ht="19.2" customHeight="1" thickBot="1" x14ac:dyDescent="0.35">
      <c r="A19" s="3">
        <v>18</v>
      </c>
      <c r="B19" s="4" t="s">
        <v>50</v>
      </c>
      <c r="C19" s="4" t="s">
        <v>36</v>
      </c>
      <c r="D19" s="4" t="s">
        <v>58</v>
      </c>
      <c r="E19" s="4">
        <v>38161</v>
      </c>
      <c r="F19" s="5">
        <v>45182</v>
      </c>
    </row>
    <row r="20" spans="1:6" ht="19.2" customHeight="1" thickBot="1" x14ac:dyDescent="0.35">
      <c r="A20" s="3">
        <v>19</v>
      </c>
      <c r="B20" s="4" t="s">
        <v>38</v>
      </c>
      <c r="C20" s="4" t="s">
        <v>36</v>
      </c>
      <c r="D20" s="4" t="s">
        <v>59</v>
      </c>
      <c r="E20" s="4">
        <v>30436</v>
      </c>
      <c r="F20" s="5">
        <v>45197</v>
      </c>
    </row>
    <row r="21" spans="1:6" ht="19.2" customHeight="1" thickBot="1" x14ac:dyDescent="0.35">
      <c r="A21" s="3">
        <v>20</v>
      </c>
      <c r="B21" s="4" t="s">
        <v>35</v>
      </c>
      <c r="C21" s="4" t="s">
        <v>36</v>
      </c>
      <c r="D21" s="4" t="s">
        <v>60</v>
      </c>
      <c r="E21" s="4">
        <v>33953</v>
      </c>
      <c r="F21" s="5">
        <v>45212</v>
      </c>
    </row>
  </sheetData>
  <mergeCells count="2">
    <mergeCell ref="H1:J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104C-9F4A-46B0-9A4E-7A3498346071}">
  <dimension ref="A1:N21"/>
  <sheetViews>
    <sheetView tabSelected="1" workbookViewId="0">
      <selection activeCell="O12" sqref="O12"/>
    </sheetView>
  </sheetViews>
  <sheetFormatPr defaultColWidth="14.44140625" defaultRowHeight="21.6" customHeight="1" x14ac:dyDescent="0.3"/>
  <cols>
    <col min="5" max="5" width="15.44140625" bestFit="1" customWidth="1"/>
    <col min="7" max="7" width="15" customWidth="1"/>
    <col min="8" max="8" width="16" customWidth="1"/>
    <col min="9" max="9" width="16.88671875" customWidth="1"/>
    <col min="10" max="10" width="2.88671875" customWidth="1"/>
  </cols>
  <sheetData>
    <row r="1" spans="1:14" ht="21.6" customHeight="1" thickBot="1" x14ac:dyDescent="0.35">
      <c r="A1" s="1" t="s">
        <v>61</v>
      </c>
      <c r="B1" s="2" t="s">
        <v>1</v>
      </c>
      <c r="C1" s="2" t="s">
        <v>62</v>
      </c>
      <c r="D1" s="2" t="s">
        <v>63</v>
      </c>
      <c r="E1" s="2" t="s">
        <v>64</v>
      </c>
      <c r="G1" s="22" t="s">
        <v>168</v>
      </c>
      <c r="H1" s="22"/>
      <c r="I1" s="22"/>
      <c r="K1" s="2" t="s">
        <v>165</v>
      </c>
    </row>
    <row r="2" spans="1:14" ht="21.6" customHeight="1" thickBot="1" x14ac:dyDescent="0.35">
      <c r="A2" s="3">
        <v>1</v>
      </c>
      <c r="B2" s="4" t="s">
        <v>65</v>
      </c>
      <c r="C2" s="4" t="s">
        <v>66</v>
      </c>
      <c r="D2" s="4">
        <v>86766</v>
      </c>
      <c r="E2" s="5">
        <v>42005</v>
      </c>
      <c r="G2" s="1" t="s">
        <v>149</v>
      </c>
      <c r="H2" s="1" t="s">
        <v>153</v>
      </c>
      <c r="I2" s="1" t="s">
        <v>154</v>
      </c>
      <c r="K2" s="4" t="str">
        <f>LEFT(B2,FIND(" ",B2)-1)</f>
        <v>Employee</v>
      </c>
    </row>
    <row r="3" spans="1:14" ht="21.6" customHeight="1" thickBot="1" x14ac:dyDescent="0.35">
      <c r="A3" s="3">
        <v>2</v>
      </c>
      <c r="B3" s="4" t="s">
        <v>67</v>
      </c>
      <c r="C3" s="4" t="s">
        <v>66</v>
      </c>
      <c r="D3" s="4">
        <v>31943</v>
      </c>
      <c r="E3" s="5">
        <v>42255</v>
      </c>
      <c r="G3" s="3">
        <v>1</v>
      </c>
      <c r="H3" s="3" t="str">
        <f>IFERROR(IF(ISNUMBER(G3),_xlfn.XLOOKUP(G3,A1:A21,B1:B21),G3),"-")</f>
        <v>Employee 1</v>
      </c>
      <c r="I3" s="3">
        <f>IF(ISNUMBER(G3),_xlfn.XLOOKUP(G3,A1:A21,D1:D21),_xlfn.XLOOKUP(G3,B1:B21,D1:D21))</f>
        <v>86766</v>
      </c>
    </row>
    <row r="4" spans="1:14" ht="21.6" customHeight="1" thickBot="1" x14ac:dyDescent="0.35">
      <c r="A4" s="3">
        <v>3</v>
      </c>
      <c r="B4" s="4" t="s">
        <v>68</v>
      </c>
      <c r="C4" s="4" t="s">
        <v>69</v>
      </c>
      <c r="D4" s="4">
        <v>63374</v>
      </c>
      <c r="E4" s="5">
        <v>42505</v>
      </c>
    </row>
    <row r="5" spans="1:14" ht="21.6" customHeight="1" thickBot="1" x14ac:dyDescent="0.35">
      <c r="A5" s="3">
        <v>4</v>
      </c>
      <c r="B5" s="4" t="s">
        <v>70</v>
      </c>
      <c r="C5" s="4" t="s">
        <v>66</v>
      </c>
      <c r="D5" s="4">
        <v>109972</v>
      </c>
      <c r="E5" s="5">
        <v>42755</v>
      </c>
    </row>
    <row r="6" spans="1:14" ht="21.6" customHeight="1" thickBot="1" x14ac:dyDescent="0.35">
      <c r="A6" s="3">
        <v>5</v>
      </c>
      <c r="B6" s="4" t="s">
        <v>71</v>
      </c>
      <c r="C6" s="4" t="s">
        <v>72</v>
      </c>
      <c r="D6" s="4">
        <v>54149</v>
      </c>
      <c r="E6" s="5">
        <v>43005</v>
      </c>
      <c r="G6" s="22" t="s">
        <v>169</v>
      </c>
      <c r="H6" s="22"/>
      <c r="I6" s="22"/>
      <c r="L6" s="23" t="s">
        <v>170</v>
      </c>
      <c r="M6" s="23"/>
      <c r="N6" s="23"/>
    </row>
    <row r="7" spans="1:14" ht="21.6" customHeight="1" thickBot="1" x14ac:dyDescent="0.35">
      <c r="A7" s="3">
        <v>6</v>
      </c>
      <c r="B7" s="4" t="s">
        <v>73</v>
      </c>
      <c r="C7" s="4" t="s">
        <v>72</v>
      </c>
      <c r="D7" s="4">
        <v>78689</v>
      </c>
      <c r="E7" s="5">
        <v>43255</v>
      </c>
      <c r="G7" s="13" t="s">
        <v>149</v>
      </c>
      <c r="H7" s="13" t="s">
        <v>156</v>
      </c>
      <c r="I7" s="13" t="s">
        <v>155</v>
      </c>
    </row>
    <row r="8" spans="1:14" ht="21.6" customHeight="1" thickBot="1" x14ac:dyDescent="0.35">
      <c r="A8" s="3">
        <v>7</v>
      </c>
      <c r="B8" s="4" t="s">
        <v>74</v>
      </c>
      <c r="C8" s="4" t="s">
        <v>75</v>
      </c>
      <c r="D8" s="4">
        <v>35960</v>
      </c>
      <c r="E8" s="5">
        <v>43505</v>
      </c>
      <c r="G8" s="14">
        <v>3</v>
      </c>
      <c r="H8" s="14" t="str">
        <f>_xlfn.XLOOKUP(G8,A2:A21,B2:B21)</f>
        <v>Employee 3</v>
      </c>
      <c r="I8" s="14" t="str">
        <f>IFERROR(TEXT(_xlfn.XLOOKUP(G8,A2:A21,E2:E21),"DD-MM-YYYY"),"-")</f>
        <v>15-05-2016</v>
      </c>
    </row>
    <row r="9" spans="1:14" ht="21.6" customHeight="1" thickBot="1" x14ac:dyDescent="0.35">
      <c r="A9" s="3">
        <v>8</v>
      </c>
      <c r="B9" s="4" t="s">
        <v>76</v>
      </c>
      <c r="C9" s="4" t="s">
        <v>72</v>
      </c>
      <c r="D9" s="4">
        <v>91659</v>
      </c>
      <c r="E9" s="5">
        <v>43755</v>
      </c>
    </row>
    <row r="10" spans="1:14" ht="21.6" customHeight="1" thickBot="1" x14ac:dyDescent="0.35">
      <c r="A10" s="3">
        <v>9</v>
      </c>
      <c r="B10" s="4" t="s">
        <v>77</v>
      </c>
      <c r="C10" s="4" t="s">
        <v>72</v>
      </c>
      <c r="D10" s="4">
        <v>90423</v>
      </c>
      <c r="E10" s="5">
        <v>44005</v>
      </c>
    </row>
    <row r="11" spans="1:14" ht="21.6" customHeight="1" thickBot="1" x14ac:dyDescent="0.35">
      <c r="A11" s="3">
        <v>10</v>
      </c>
      <c r="B11" s="4" t="s">
        <v>78</v>
      </c>
      <c r="C11" s="4" t="s">
        <v>69</v>
      </c>
      <c r="D11" s="4">
        <v>107877</v>
      </c>
      <c r="E11" s="5">
        <v>44255</v>
      </c>
    </row>
    <row r="12" spans="1:14" ht="21.6" customHeight="1" thickBot="1" x14ac:dyDescent="0.35">
      <c r="A12" s="3">
        <v>11</v>
      </c>
      <c r="B12" s="4" t="s">
        <v>79</v>
      </c>
      <c r="C12" s="4" t="s">
        <v>66</v>
      </c>
      <c r="D12" s="4">
        <v>107634</v>
      </c>
      <c r="E12" s="5">
        <v>44505</v>
      </c>
    </row>
    <row r="13" spans="1:14" ht="21.6" customHeight="1" thickBot="1" x14ac:dyDescent="0.35">
      <c r="A13" s="3">
        <v>12</v>
      </c>
      <c r="B13" s="4" t="s">
        <v>80</v>
      </c>
      <c r="C13" s="4" t="s">
        <v>66</v>
      </c>
      <c r="D13" s="4">
        <v>35226</v>
      </c>
      <c r="E13" s="5">
        <v>44755</v>
      </c>
    </row>
    <row r="14" spans="1:14" ht="21.6" customHeight="1" thickBot="1" x14ac:dyDescent="0.35">
      <c r="A14" s="3">
        <v>13</v>
      </c>
      <c r="B14" s="4" t="s">
        <v>81</v>
      </c>
      <c r="C14" s="4" t="s">
        <v>69</v>
      </c>
      <c r="D14" s="4">
        <v>40872</v>
      </c>
      <c r="E14" s="5">
        <v>45005</v>
      </c>
    </row>
    <row r="15" spans="1:14" ht="21.6" customHeight="1" thickBot="1" x14ac:dyDescent="0.35">
      <c r="A15" s="3">
        <v>14</v>
      </c>
      <c r="B15" s="4" t="s">
        <v>82</v>
      </c>
      <c r="C15" s="4" t="s">
        <v>69</v>
      </c>
      <c r="D15" s="4">
        <v>55378</v>
      </c>
      <c r="E15" s="5">
        <v>45255</v>
      </c>
    </row>
    <row r="16" spans="1:14" ht="21.6" customHeight="1" thickBot="1" x14ac:dyDescent="0.35">
      <c r="A16" s="3">
        <v>15</v>
      </c>
      <c r="B16" s="4" t="s">
        <v>83</v>
      </c>
      <c r="C16" s="4" t="s">
        <v>69</v>
      </c>
      <c r="D16" s="4">
        <v>63297</v>
      </c>
      <c r="E16" s="5">
        <v>45505</v>
      </c>
    </row>
    <row r="17" spans="1:5" ht="21.6" customHeight="1" thickBot="1" x14ac:dyDescent="0.35">
      <c r="A17" s="3">
        <v>16</v>
      </c>
      <c r="B17" s="4" t="s">
        <v>84</v>
      </c>
      <c r="C17" s="4" t="s">
        <v>66</v>
      </c>
      <c r="D17" s="4">
        <v>114173</v>
      </c>
      <c r="E17" s="5">
        <v>45755</v>
      </c>
    </row>
    <row r="18" spans="1:5" ht="21.6" customHeight="1" thickBot="1" x14ac:dyDescent="0.35">
      <c r="A18" s="3">
        <v>17</v>
      </c>
      <c r="B18" s="4" t="s">
        <v>85</v>
      </c>
      <c r="C18" s="4" t="s">
        <v>69</v>
      </c>
      <c r="D18" s="4">
        <v>86915</v>
      </c>
      <c r="E18" s="5">
        <v>46005</v>
      </c>
    </row>
    <row r="19" spans="1:5" ht="21.6" customHeight="1" thickBot="1" x14ac:dyDescent="0.35">
      <c r="A19" s="3">
        <v>18</v>
      </c>
      <c r="B19" s="4" t="s">
        <v>86</v>
      </c>
      <c r="C19" s="4" t="s">
        <v>72</v>
      </c>
      <c r="D19" s="4">
        <v>116284</v>
      </c>
      <c r="E19" s="5">
        <v>46255</v>
      </c>
    </row>
    <row r="20" spans="1:5" ht="21.6" customHeight="1" thickBot="1" x14ac:dyDescent="0.35">
      <c r="A20" s="3">
        <v>19</v>
      </c>
      <c r="B20" s="4" t="s">
        <v>87</v>
      </c>
      <c r="C20" s="4" t="s">
        <v>75</v>
      </c>
      <c r="D20" s="4">
        <v>116283</v>
      </c>
      <c r="E20" s="5">
        <v>46505</v>
      </c>
    </row>
    <row r="21" spans="1:5" ht="21.6" customHeight="1" thickBot="1" x14ac:dyDescent="0.35">
      <c r="A21" s="3">
        <v>20</v>
      </c>
      <c r="B21" s="4" t="s">
        <v>88</v>
      </c>
      <c r="C21" s="4" t="s">
        <v>75</v>
      </c>
      <c r="D21" s="4">
        <v>99924</v>
      </c>
      <c r="E21" s="5">
        <v>46755</v>
      </c>
    </row>
  </sheetData>
  <mergeCells count="3">
    <mergeCell ref="G1:I1"/>
    <mergeCell ref="G6:I6"/>
    <mergeCell ref="L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instruction</vt:lpstr>
      <vt:lpstr>students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Pokar</dc:creator>
  <cp:lastModifiedBy>Ayush Pokar</cp:lastModifiedBy>
  <dcterms:created xsi:type="dcterms:W3CDTF">2026-02-05T10:42:45Z</dcterms:created>
  <dcterms:modified xsi:type="dcterms:W3CDTF">2026-02-09T11:36:19Z</dcterms:modified>
</cp:coreProperties>
</file>